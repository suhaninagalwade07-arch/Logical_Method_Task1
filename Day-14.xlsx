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ta Analytics\Excel\Practice\Day-14\"/>
    </mc:Choice>
  </mc:AlternateContent>
  <xr:revisionPtr revIDLastSave="0" documentId="13_ncr:1_{79DBF6DB-18A7-44CD-9277-2DFA734DEF4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Logical" sheetId="2" r:id="rId2"/>
    <sheet name="Logical (if-else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3" l="1" a="1"/>
  <c r="N18" i="3" s="1"/>
  <c r="O17" i="3"/>
  <c r="N17" i="3"/>
  <c r="O11" i="3"/>
  <c r="P8" i="3"/>
  <c r="P9" i="3"/>
  <c r="P10" i="3"/>
  <c r="P11" i="3"/>
  <c r="P12" i="3"/>
  <c r="P7" i="3"/>
  <c r="Q8" i="3"/>
  <c r="Q9" i="3"/>
  <c r="Q10" i="3"/>
  <c r="Q11" i="3"/>
  <c r="Q12" i="3"/>
  <c r="Q7" i="3"/>
  <c r="O7" i="3"/>
  <c r="S3" i="3"/>
  <c r="R7" i="3"/>
  <c r="O8" i="3"/>
  <c r="O9" i="3"/>
  <c r="O10" i="3"/>
  <c r="O12" i="3"/>
  <c r="S8" i="3"/>
  <c r="S11" i="3"/>
  <c r="R3" i="3"/>
  <c r="S9" i="3" s="1"/>
  <c r="R8" i="3"/>
  <c r="R9" i="3"/>
  <c r="R10" i="3"/>
  <c r="R11" i="3"/>
  <c r="R12" i="3"/>
  <c r="N13" i="2"/>
  <c r="N12" i="2"/>
  <c r="N11" i="2"/>
  <c r="N10" i="2"/>
  <c r="N9" i="2"/>
  <c r="N8" i="2"/>
  <c r="O8" i="2"/>
  <c r="O10" i="2"/>
  <c r="O13" i="2"/>
  <c r="O11" i="2"/>
  <c r="O12" i="2"/>
  <c r="O19" i="2"/>
  <c r="O17" i="2"/>
  <c r="Q13" i="2"/>
  <c r="R8" i="2"/>
  <c r="R13" i="2"/>
  <c r="R9" i="2"/>
  <c r="R10" i="2"/>
  <c r="R11" i="2"/>
  <c r="R12" i="2"/>
  <c r="Q9" i="2"/>
  <c r="Q10" i="2"/>
  <c r="Q11" i="2"/>
  <c r="Q12" i="2"/>
  <c r="Q8" i="2"/>
  <c r="P9" i="2"/>
  <c r="P10" i="2"/>
  <c r="P11" i="2"/>
  <c r="P12" i="2"/>
  <c r="P13" i="2"/>
  <c r="P8" i="2"/>
  <c r="F17" i="2"/>
  <c r="F16" i="2"/>
  <c r="F15" i="2"/>
  <c r="O9" i="2"/>
  <c r="O7" i="1"/>
  <c r="O8" i="1"/>
  <c r="O9" i="1"/>
  <c r="O10" i="1"/>
  <c r="O11" i="1"/>
  <c r="O6" i="1"/>
  <c r="E15" i="1"/>
  <c r="E14" i="1"/>
  <c r="E13" i="1"/>
  <c r="N11" i="1"/>
  <c r="N6" i="1"/>
  <c r="M7" i="1"/>
  <c r="N7" i="1" s="1"/>
  <c r="M8" i="1"/>
  <c r="N8" i="1" s="1"/>
  <c r="M9" i="1"/>
  <c r="N9" i="1" s="1"/>
  <c r="M10" i="1"/>
  <c r="N10" i="1" s="1"/>
  <c r="M11" i="1"/>
  <c r="M6" i="1"/>
  <c r="S7" i="3" l="1"/>
  <c r="S10" i="3"/>
  <c r="S1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<sst xmlns="http://schemas.openxmlformats.org/spreadsheetml/2006/main" count="180" uniqueCount="69">
  <si>
    <t>price</t>
  </si>
  <si>
    <t>from</t>
  </si>
  <si>
    <t>to</t>
  </si>
  <si>
    <t>time</t>
  </si>
  <si>
    <t>company</t>
  </si>
  <si>
    <t>customer_name</t>
  </si>
  <si>
    <t>buggage_weight</t>
  </si>
  <si>
    <t>seat_class</t>
  </si>
  <si>
    <t>ticket_no</t>
  </si>
  <si>
    <t>Seat_No</t>
  </si>
  <si>
    <t>cust1</t>
  </si>
  <si>
    <t>cust2</t>
  </si>
  <si>
    <t>ARC_cust</t>
  </si>
  <si>
    <t>Vigo_cust</t>
  </si>
  <si>
    <t>arc2</t>
  </si>
  <si>
    <t>DB_user1</t>
  </si>
  <si>
    <t>P</t>
  </si>
  <si>
    <t>E</t>
  </si>
  <si>
    <t>L</t>
  </si>
  <si>
    <t>T-101</t>
  </si>
  <si>
    <t>T-102</t>
  </si>
  <si>
    <t>T-103</t>
  </si>
  <si>
    <t>T-104</t>
  </si>
  <si>
    <t>T-105</t>
  </si>
  <si>
    <t>T-106</t>
  </si>
  <si>
    <t>NAGPUR</t>
  </si>
  <si>
    <t>PUNE</t>
  </si>
  <si>
    <t>DUBAI</t>
  </si>
  <si>
    <t>DELHI</t>
  </si>
  <si>
    <t>MUMBAI</t>
  </si>
  <si>
    <t>HYDERABAD</t>
  </si>
  <si>
    <t>indigo</t>
  </si>
  <si>
    <t>AIR INDIA</t>
  </si>
  <si>
    <t>qatar airlines</t>
  </si>
  <si>
    <t>TAX</t>
  </si>
  <si>
    <t>mean</t>
  </si>
  <si>
    <t>max</t>
  </si>
  <si>
    <t>avg</t>
  </si>
  <si>
    <t>Rank</t>
  </si>
  <si>
    <t>Total_price</t>
  </si>
  <si>
    <t>"=equal"</t>
  </si>
  <si>
    <t>bugget</t>
  </si>
  <si>
    <t>&gt;gt</t>
  </si>
  <si>
    <t>&lt;lt</t>
  </si>
  <si>
    <t>OR</t>
  </si>
  <si>
    <t>does price contain any value less than 60</t>
  </si>
  <si>
    <t>does all value contain value gt than 60</t>
  </si>
  <si>
    <t>OR will return false value only if all of the logical operation in it return false</t>
  </si>
  <si>
    <t>AND only return true if all logical operation in it return true</t>
  </si>
  <si>
    <t>AND</t>
  </si>
  <si>
    <t>increase bugget</t>
  </si>
  <si>
    <t>bugget is low</t>
  </si>
  <si>
    <t>bugget is good</t>
  </si>
  <si>
    <t>Price</t>
  </si>
  <si>
    <t>IF</t>
  </si>
  <si>
    <t>Problem+Logic=Output</t>
  </si>
  <si>
    <t>IF ELSE IF</t>
  </si>
  <si>
    <t>bigget+20</t>
  </si>
  <si>
    <t>diff</t>
  </si>
  <si>
    <t>output</t>
  </si>
  <si>
    <t>Optimum Check</t>
  </si>
  <si>
    <t>mTime</t>
  </si>
  <si>
    <t>tTime</t>
  </si>
  <si>
    <t xml:space="preserve">My schedule </t>
  </si>
  <si>
    <t>I have meeting at 8:30 pm</t>
  </si>
  <si>
    <t>Travel tim is 30 min</t>
  </si>
  <si>
    <t>Que.</t>
  </si>
  <si>
    <t>Solve the problem to find least time for travel and ticket</t>
  </si>
  <si>
    <t>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</si>
</sst>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:ss;@"/>
    <numFmt numFmtId="165" formatCode="[$-F400]h:mm:ss\ AM/PM"/>
  </numFmts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" xfId="0" applyFont="1" applyFill="1" applyBorder="1"/>
    <xf numFmtId="164" fontId="1" fillId="5" borderId="1" xfId="0" applyNumberFormat="1" applyFont="1" applyFill="1" applyBorder="1"/>
    <xf numFmtId="0" fontId="0" fillId="5" borderId="1" xfId="0" applyFill="1" applyBorder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2" fillId="5" borderId="1" xfId="0" applyFont="1" applyFill="1" applyBorder="1"/>
    <xf numFmtId="0" fontId="2" fillId="0" borderId="0" xfId="0" applyFont="1" applyAlignment="1">
      <alignment horizontal="center"/>
    </xf>
    <xf numFmtId="0" fontId="0" fillId="0" borderId="0" xfId="0"/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5" borderId="0" xfId="0" applyFill="1" applyBorder="1" applyAlignment="1">
      <alignment horizontal="center"/>
    </xf>
    <xf numFmtId="0" fontId="0" fillId="7" borderId="0" xfId="0" applyFill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9"/>
  <sheetViews>
    <sheetView topLeftCell="E1" workbookViewId="0">
      <selection activeCell="C5" sqref="C5:L11"/>
    </sheetView>
  </sheetViews>
  <sheetFormatPr defaultRowHeight="14.4"/>
  <cols>
    <col min="4" max="4" width="13.5546875" customWidth="1"/>
    <col min="5" max="5" width="14" customWidth="1"/>
    <col min="6" max="6" width="9.33203125" customWidth="1"/>
    <col min="7" max="7" width="11.33203125" customWidth="1"/>
    <col min="9" max="9" width="13.77734375" customWidth="1"/>
    <col min="10" max="10" width="13.6640625" customWidth="1"/>
    <col min="12" max="12" width="11.5546875" customWidth="1"/>
    <col min="14" max="14" width="10.21875" bestFit="1" customWidth="1"/>
  </cols>
  <sheetData>
    <row r="1" spans="3:15">
      <c r="L1" s="2" t="s">
        <v>34</v>
      </c>
      <c r="M1" s="5">
        <v>0.2</v>
      </c>
    </row>
    <row r="5" spans="3:15">
      <c r="C5" s="1" t="s">
        <v>9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0</v>
      </c>
      <c r="I5" s="1" t="s">
        <v>1</v>
      </c>
      <c r="J5" s="1" t="s">
        <v>2</v>
      </c>
      <c r="K5" s="1" t="s">
        <v>3</v>
      </c>
      <c r="L5" s="1" t="s">
        <v>4</v>
      </c>
      <c r="M5" s="1" t="s">
        <v>34</v>
      </c>
      <c r="N5" s="1" t="s">
        <v>39</v>
      </c>
      <c r="O5" s="1" t="s">
        <v>38</v>
      </c>
    </row>
    <row r="6" spans="3:15">
      <c r="C6" s="3">
        <v>101</v>
      </c>
      <c r="D6" s="3" t="s">
        <v>10</v>
      </c>
      <c r="E6" s="3">
        <v>20</v>
      </c>
      <c r="F6" s="3" t="s">
        <v>16</v>
      </c>
      <c r="G6" s="3" t="s">
        <v>19</v>
      </c>
      <c r="H6" s="3">
        <v>60</v>
      </c>
      <c r="I6" s="3" t="s">
        <v>25</v>
      </c>
      <c r="J6" s="3" t="s">
        <v>28</v>
      </c>
      <c r="K6" s="4">
        <v>0.83333333333333337</v>
      </c>
      <c r="L6" s="3" t="s">
        <v>31</v>
      </c>
      <c r="M6" s="3">
        <f>H6*$M$1</f>
        <v>12</v>
      </c>
      <c r="N6" s="3">
        <f t="shared" ref="N6:N11" si="0">M6+H6</f>
        <v>72</v>
      </c>
      <c r="O6" s="8">
        <f>_xlfn.RANK.AVG(N6,$N$6:$N$11,0)</f>
        <v>3.5</v>
      </c>
    </row>
    <row r="7" spans="3:15">
      <c r="C7" s="3">
        <v>102</v>
      </c>
      <c r="D7" s="3" t="s">
        <v>11</v>
      </c>
      <c r="E7" s="3">
        <v>30</v>
      </c>
      <c r="F7" s="3" t="s">
        <v>17</v>
      </c>
      <c r="G7" s="3" t="s">
        <v>20</v>
      </c>
      <c r="H7" s="3">
        <v>50</v>
      </c>
      <c r="I7" s="3" t="s">
        <v>26</v>
      </c>
      <c r="J7" s="3" t="s">
        <v>29</v>
      </c>
      <c r="K7" s="4">
        <v>0.64583333333333337</v>
      </c>
      <c r="L7" s="3" t="s">
        <v>32</v>
      </c>
      <c r="M7" s="3">
        <f t="shared" ref="M7:M9" si="1">H7*$M$1</f>
        <v>10</v>
      </c>
      <c r="N7" s="3">
        <f t="shared" si="0"/>
        <v>60</v>
      </c>
      <c r="O7" s="8">
        <f t="shared" ref="O7:O11" si="2">_xlfn.RANK.AVG(N7,$N$6:$N$11,0)</f>
        <v>5</v>
      </c>
    </row>
    <row r="8" spans="3:15">
      <c r="C8" s="3">
        <v>103</v>
      </c>
      <c r="D8" s="3" t="s">
        <v>12</v>
      </c>
      <c r="E8" s="3">
        <v>50</v>
      </c>
      <c r="F8" s="3" t="s">
        <v>18</v>
      </c>
      <c r="G8" s="3" t="s">
        <v>21</v>
      </c>
      <c r="H8" s="3">
        <v>100</v>
      </c>
      <c r="I8" s="3" t="s">
        <v>25</v>
      </c>
      <c r="J8" s="3" t="s">
        <v>27</v>
      </c>
      <c r="K8" s="4">
        <v>0.34027777777777779</v>
      </c>
      <c r="L8" s="3" t="s">
        <v>33</v>
      </c>
      <c r="M8" s="3">
        <f t="shared" si="1"/>
        <v>20</v>
      </c>
      <c r="N8" s="3">
        <f t="shared" si="0"/>
        <v>120</v>
      </c>
      <c r="O8" s="8">
        <f t="shared" si="2"/>
        <v>2</v>
      </c>
    </row>
    <row r="9" spans="3:15">
      <c r="C9" s="3">
        <v>104</v>
      </c>
      <c r="D9" s="3" t="s">
        <v>13</v>
      </c>
      <c r="E9" s="3">
        <v>40</v>
      </c>
      <c r="F9" s="3" t="s">
        <v>18</v>
      </c>
      <c r="G9" s="3" t="s">
        <v>22</v>
      </c>
      <c r="H9" s="3">
        <v>120</v>
      </c>
      <c r="I9" s="3" t="s">
        <v>27</v>
      </c>
      <c r="J9" s="3" t="s">
        <v>29</v>
      </c>
      <c r="K9" s="4">
        <v>2.361111111111111E-2</v>
      </c>
      <c r="L9" s="3" t="s">
        <v>33</v>
      </c>
      <c r="M9" s="3">
        <f t="shared" si="1"/>
        <v>24</v>
      </c>
      <c r="N9" s="3">
        <f t="shared" si="0"/>
        <v>144</v>
      </c>
      <c r="O9" s="8">
        <f t="shared" si="2"/>
        <v>1</v>
      </c>
    </row>
    <row r="10" spans="3:15">
      <c r="C10" s="3">
        <v>105</v>
      </c>
      <c r="D10" s="3" t="s">
        <v>14</v>
      </c>
      <c r="E10" s="3">
        <v>10</v>
      </c>
      <c r="F10" s="3" t="s">
        <v>17</v>
      </c>
      <c r="G10" s="3" t="s">
        <v>23</v>
      </c>
      <c r="H10" s="3">
        <v>30</v>
      </c>
      <c r="I10" s="3" t="s">
        <v>25</v>
      </c>
      <c r="J10" s="3" t="s">
        <v>30</v>
      </c>
      <c r="K10" s="4">
        <v>0.99652777777777779</v>
      </c>
      <c r="L10" s="3" t="s">
        <v>31</v>
      </c>
      <c r="M10" s="3">
        <f>H10*$M$1</f>
        <v>6</v>
      </c>
      <c r="N10" s="3">
        <f t="shared" si="0"/>
        <v>36</v>
      </c>
      <c r="O10" s="8">
        <f t="shared" si="2"/>
        <v>6</v>
      </c>
    </row>
    <row r="11" spans="3:15">
      <c r="C11" s="3">
        <v>106</v>
      </c>
      <c r="D11" s="3" t="s">
        <v>15</v>
      </c>
      <c r="E11" s="3">
        <v>30</v>
      </c>
      <c r="F11" s="3" t="s">
        <v>16</v>
      </c>
      <c r="G11" s="3" t="s">
        <v>24</v>
      </c>
      <c r="H11" s="3">
        <v>60</v>
      </c>
      <c r="I11" s="3" t="s">
        <v>30</v>
      </c>
      <c r="J11" s="3" t="s">
        <v>29</v>
      </c>
      <c r="K11" s="4">
        <v>0.50347222222222221</v>
      </c>
      <c r="L11" s="3" t="s">
        <v>32</v>
      </c>
      <c r="M11" s="3">
        <f>H11*$M$1</f>
        <v>12</v>
      </c>
      <c r="N11" s="3">
        <f t="shared" si="0"/>
        <v>72</v>
      </c>
      <c r="O11" s="8">
        <f t="shared" si="2"/>
        <v>3.5</v>
      </c>
    </row>
    <row r="12" spans="3:1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3:15">
      <c r="C13" s="2" t="s">
        <v>35</v>
      </c>
      <c r="D13" s="2"/>
      <c r="E13" s="2">
        <f>MIN(E6:E11)</f>
        <v>10</v>
      </c>
      <c r="F13" s="2"/>
      <c r="G13" s="2"/>
      <c r="H13" s="2"/>
      <c r="I13" s="2"/>
      <c r="J13" s="2"/>
      <c r="K13" s="2"/>
      <c r="L13" s="2"/>
      <c r="M13" s="2"/>
      <c r="N13" s="2"/>
    </row>
    <row r="14" spans="3:15">
      <c r="C14" s="2" t="s">
        <v>36</v>
      </c>
      <c r="D14" s="2"/>
      <c r="E14" s="2">
        <f>MAX(E6:E11)</f>
        <v>50</v>
      </c>
      <c r="F14" s="2"/>
      <c r="G14" s="2"/>
      <c r="H14" s="2"/>
      <c r="I14" s="2"/>
      <c r="J14" s="2"/>
      <c r="K14" s="2"/>
      <c r="L14" s="2"/>
      <c r="M14" s="2"/>
      <c r="N14" s="2"/>
    </row>
    <row r="15" spans="3:15">
      <c r="C15" s="2" t="s">
        <v>37</v>
      </c>
      <c r="D15" s="2"/>
      <c r="E15" s="2">
        <f>AVERAGE(E6:E11)</f>
        <v>30</v>
      </c>
      <c r="F15" s="2"/>
      <c r="G15" s="2"/>
      <c r="H15" s="2"/>
      <c r="I15" s="2"/>
      <c r="J15" s="2"/>
      <c r="K15" s="2"/>
      <c r="L15" s="2"/>
      <c r="M15" s="2"/>
      <c r="N15" s="2"/>
    </row>
    <row r="16" spans="3:1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3:1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3:1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3:1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EF9B-4EBF-4D11-BC2E-F5DE8C88ED1A}">
  <dimension ref="D1:X27"/>
  <sheetViews>
    <sheetView topLeftCell="G1" zoomScale="73" workbookViewId="0">
      <selection activeCell="O30" sqref="O30"/>
    </sheetView>
  </sheetViews>
  <sheetFormatPr defaultRowHeight="14.4"/>
  <cols>
    <col min="4" max="4" width="8" bestFit="1" customWidth="1"/>
    <col min="5" max="5" width="14.33203125" bestFit="1" customWidth="1"/>
    <col min="6" max="6" width="14.21875" bestFit="1" customWidth="1"/>
    <col min="7" max="7" width="9.33203125" bestFit="1" customWidth="1"/>
    <col min="8" max="8" width="8.6640625" bestFit="1" customWidth="1"/>
    <col min="9" max="9" width="5" bestFit="1" customWidth="1"/>
    <col min="10" max="10" width="11.109375" bestFit="1" customWidth="1"/>
    <col min="11" max="11" width="13.88671875" bestFit="1" customWidth="1"/>
    <col min="12" max="12" width="8.109375" bestFit="1" customWidth="1"/>
    <col min="13" max="13" width="11.5546875" bestFit="1" customWidth="1"/>
    <col min="14" max="14" width="10.44140625" customWidth="1"/>
    <col min="15" max="15" width="10.21875" bestFit="1" customWidth="1"/>
    <col min="16" max="16" width="8" bestFit="1" customWidth="1"/>
    <col min="18" max="19" width="12.77734375" bestFit="1" customWidth="1"/>
  </cols>
  <sheetData>
    <row r="1" spans="4:20">
      <c r="M1" s="2" t="s">
        <v>34</v>
      </c>
      <c r="N1" s="5">
        <v>0.2</v>
      </c>
    </row>
    <row r="7" spans="4:20">
      <c r="D7" s="1" t="s">
        <v>9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0</v>
      </c>
      <c r="J7" s="1" t="s">
        <v>1</v>
      </c>
      <c r="K7" s="1" t="s">
        <v>2</v>
      </c>
      <c r="L7" s="1" t="s">
        <v>3</v>
      </c>
      <c r="M7" s="1" t="s">
        <v>4</v>
      </c>
      <c r="N7" s="1" t="s">
        <v>34</v>
      </c>
      <c r="O7" s="1" t="s">
        <v>39</v>
      </c>
      <c r="P7" s="1" t="s">
        <v>40</v>
      </c>
      <c r="Q7" s="1" t="s">
        <v>42</v>
      </c>
      <c r="R7" s="1" t="s">
        <v>43</v>
      </c>
      <c r="S7" s="6"/>
      <c r="T7" s="6"/>
    </row>
    <row r="8" spans="4:20">
      <c r="D8" s="3">
        <v>101</v>
      </c>
      <c r="E8" s="3" t="s">
        <v>10</v>
      </c>
      <c r="F8" s="3">
        <v>20</v>
      </c>
      <c r="G8" s="3" t="s">
        <v>16</v>
      </c>
      <c r="H8" s="3" t="s">
        <v>19</v>
      </c>
      <c r="I8" s="3">
        <v>60</v>
      </c>
      <c r="J8" s="3" t="s">
        <v>25</v>
      </c>
      <c r="K8" s="3" t="s">
        <v>28</v>
      </c>
      <c r="L8" s="4">
        <v>0.83333333333333337</v>
      </c>
      <c r="M8" s="3" t="s">
        <v>31</v>
      </c>
      <c r="N8" s="3">
        <f>I8*$N$1</f>
        <v>12</v>
      </c>
      <c r="O8" s="3">
        <f t="shared" ref="O8:O13" si="0">N8+I8</f>
        <v>72</v>
      </c>
      <c r="P8" s="9" t="b">
        <f>I8=L$1</f>
        <v>0</v>
      </c>
      <c r="Q8" s="7" t="b">
        <f>I8&gt;L$1</f>
        <v>1</v>
      </c>
      <c r="R8" s="7" t="b">
        <f>I8&lt;L$1</f>
        <v>0</v>
      </c>
    </row>
    <row r="9" spans="4:20">
      <c r="D9" s="3">
        <v>102</v>
      </c>
      <c r="E9" s="3" t="s">
        <v>11</v>
      </c>
      <c r="F9" s="3">
        <v>30</v>
      </c>
      <c r="G9" s="3" t="s">
        <v>17</v>
      </c>
      <c r="H9" s="3" t="s">
        <v>20</v>
      </c>
      <c r="I9" s="3">
        <v>50</v>
      </c>
      <c r="J9" s="3" t="s">
        <v>26</v>
      </c>
      <c r="K9" s="3" t="s">
        <v>29</v>
      </c>
      <c r="L9" s="4">
        <v>0.64583333333333337</v>
      </c>
      <c r="M9" s="3" t="s">
        <v>32</v>
      </c>
      <c r="N9" s="3">
        <f t="shared" ref="N9:N13" si="1">I9*$N$1</f>
        <v>10</v>
      </c>
      <c r="O9" s="3">
        <f t="shared" si="0"/>
        <v>60</v>
      </c>
      <c r="P9" s="9" t="b">
        <f t="shared" ref="P9:P13" si="2">I9=L$1</f>
        <v>0</v>
      </c>
      <c r="Q9" s="7" t="b">
        <f t="shared" ref="Q9:Q12" si="3">I9&gt;L$1</f>
        <v>1</v>
      </c>
      <c r="R9" s="7" t="b">
        <f t="shared" ref="R9:R12" si="4">I9&lt;L$1</f>
        <v>0</v>
      </c>
    </row>
    <row r="10" spans="4:20">
      <c r="D10" s="3">
        <v>103</v>
      </c>
      <c r="E10" s="3" t="s">
        <v>12</v>
      </c>
      <c r="F10" s="3">
        <v>50</v>
      </c>
      <c r="G10" s="3" t="s">
        <v>18</v>
      </c>
      <c r="H10" s="3" t="s">
        <v>21</v>
      </c>
      <c r="I10" s="3">
        <v>100</v>
      </c>
      <c r="J10" s="3" t="s">
        <v>25</v>
      </c>
      <c r="K10" s="3" t="s">
        <v>27</v>
      </c>
      <c r="L10" s="4">
        <v>0.34027777777777779</v>
      </c>
      <c r="M10" s="3" t="s">
        <v>33</v>
      </c>
      <c r="N10" s="3">
        <f t="shared" si="1"/>
        <v>20</v>
      </c>
      <c r="O10" s="3">
        <f t="shared" si="0"/>
        <v>120</v>
      </c>
      <c r="P10" s="9" t="b">
        <f t="shared" si="2"/>
        <v>0</v>
      </c>
      <c r="Q10" s="7" t="b">
        <f t="shared" si="3"/>
        <v>1</v>
      </c>
      <c r="R10" s="7" t="b">
        <f t="shared" si="4"/>
        <v>0</v>
      </c>
    </row>
    <row r="11" spans="4:20">
      <c r="D11" s="3">
        <v>104</v>
      </c>
      <c r="E11" s="3" t="s">
        <v>13</v>
      </c>
      <c r="F11" s="3">
        <v>40</v>
      </c>
      <c r="G11" s="3" t="s">
        <v>18</v>
      </c>
      <c r="H11" s="3" t="s">
        <v>22</v>
      </c>
      <c r="I11" s="3">
        <v>120</v>
      </c>
      <c r="J11" s="3" t="s">
        <v>27</v>
      </c>
      <c r="K11" s="3" t="s">
        <v>29</v>
      </c>
      <c r="L11" s="4">
        <v>2.361111111111111E-2</v>
      </c>
      <c r="M11" s="3" t="s">
        <v>33</v>
      </c>
      <c r="N11" s="3">
        <f t="shared" si="1"/>
        <v>24</v>
      </c>
      <c r="O11" s="3">
        <f t="shared" si="0"/>
        <v>144</v>
      </c>
      <c r="P11" s="9" t="b">
        <f t="shared" si="2"/>
        <v>0</v>
      </c>
      <c r="Q11" s="7" t="b">
        <f t="shared" si="3"/>
        <v>1</v>
      </c>
      <c r="R11" s="7" t="b">
        <f t="shared" si="4"/>
        <v>0</v>
      </c>
    </row>
    <row r="12" spans="4:20">
      <c r="D12" s="3">
        <v>105</v>
      </c>
      <c r="E12" s="3" t="s">
        <v>14</v>
      </c>
      <c r="F12" s="3">
        <v>10</v>
      </c>
      <c r="G12" s="3" t="s">
        <v>17</v>
      </c>
      <c r="H12" s="3" t="s">
        <v>23</v>
      </c>
      <c r="I12" s="3">
        <v>30</v>
      </c>
      <c r="J12" s="3" t="s">
        <v>25</v>
      </c>
      <c r="K12" s="3" t="s">
        <v>30</v>
      </c>
      <c r="L12" s="4">
        <v>0.99652777777777779</v>
      </c>
      <c r="M12" s="3" t="s">
        <v>31</v>
      </c>
      <c r="N12" s="3">
        <f t="shared" si="1"/>
        <v>6</v>
      </c>
      <c r="O12" s="3">
        <f t="shared" si="0"/>
        <v>36</v>
      </c>
      <c r="P12" s="9" t="b">
        <f t="shared" si="2"/>
        <v>0</v>
      </c>
      <c r="Q12" s="7" t="b">
        <f t="shared" si="3"/>
        <v>1</v>
      </c>
      <c r="R12" s="7" t="b">
        <f t="shared" si="4"/>
        <v>0</v>
      </c>
    </row>
    <row r="13" spans="4:20">
      <c r="D13" s="3">
        <v>106</v>
      </c>
      <c r="E13" s="3" t="s">
        <v>15</v>
      </c>
      <c r="F13" s="3">
        <v>30</v>
      </c>
      <c r="G13" s="3" t="s">
        <v>16</v>
      </c>
      <c r="H13" s="3" t="s">
        <v>24</v>
      </c>
      <c r="I13" s="3">
        <v>60</v>
      </c>
      <c r="J13" s="3" t="s">
        <v>30</v>
      </c>
      <c r="K13" s="3" t="s">
        <v>29</v>
      </c>
      <c r="L13" s="4">
        <v>0.50347222222222221</v>
      </c>
      <c r="M13" s="3" t="s">
        <v>32</v>
      </c>
      <c r="N13" s="3">
        <f t="shared" si="1"/>
        <v>12</v>
      </c>
      <c r="O13" s="3">
        <f t="shared" si="0"/>
        <v>72</v>
      </c>
      <c r="P13" s="9" t="b">
        <f t="shared" si="2"/>
        <v>0</v>
      </c>
      <c r="Q13" s="7" t="b">
        <f>I13&gt;L$1</f>
        <v>1</v>
      </c>
      <c r="R13" s="7" t="b">
        <f>I13&lt;L$1</f>
        <v>0</v>
      </c>
    </row>
    <row r="14" spans="4:20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4:20">
      <c r="D15" s="2" t="s">
        <v>35</v>
      </c>
      <c r="E15" s="2"/>
      <c r="F15" s="2">
        <f>MIN(F8:F13)</f>
        <v>10</v>
      </c>
      <c r="G15" s="2"/>
      <c r="H15" s="2"/>
      <c r="I15" s="2"/>
      <c r="J15" s="2"/>
      <c r="K15" s="2"/>
      <c r="L15" s="2"/>
      <c r="M15" s="2"/>
      <c r="N15" s="2"/>
      <c r="O15" s="2"/>
    </row>
    <row r="16" spans="4:20">
      <c r="D16" s="2" t="s">
        <v>36</v>
      </c>
      <c r="E16" s="2"/>
      <c r="F16" s="2">
        <f>MAX(F8:F13)</f>
        <v>50</v>
      </c>
      <c r="G16" s="2"/>
      <c r="H16" s="2"/>
      <c r="I16" s="2"/>
      <c r="J16" s="2"/>
      <c r="K16" s="2"/>
      <c r="L16" s="2"/>
      <c r="M16" s="2"/>
      <c r="N16" s="2"/>
      <c r="O16" s="2"/>
    </row>
    <row r="17" spans="4:24">
      <c r="D17" s="2" t="s">
        <v>37</v>
      </c>
      <c r="E17" s="2"/>
      <c r="F17" s="2">
        <f>AVERAGE(F8:F13)</f>
        <v>30</v>
      </c>
      <c r="G17" s="2"/>
      <c r="H17" s="2"/>
      <c r="I17" s="2"/>
      <c r="J17" t="s">
        <v>44</v>
      </c>
      <c r="K17" s="23" t="s">
        <v>45</v>
      </c>
      <c r="L17" s="23"/>
      <c r="M17" s="23"/>
      <c r="N17" s="23"/>
      <c r="O17" s="2" t="b">
        <f>OR(I8&lt;L1,I9&lt;L1,I10&lt;L1,I11&lt;L1,I12&lt;L1,I13&lt;L1)</f>
        <v>0</v>
      </c>
    </row>
    <row r="19" spans="4:24">
      <c r="J19" t="s">
        <v>49</v>
      </c>
      <c r="K19" s="21" t="s">
        <v>46</v>
      </c>
      <c r="L19" s="21"/>
      <c r="M19" s="21"/>
      <c r="N19" s="21"/>
      <c r="O19" t="b">
        <f>AND(I8&gt;L1,I9&gt;L1,I10&gt;L1,I11&gt;L1,I12&gt;L1,I13&gt;L1)</f>
        <v>1</v>
      </c>
    </row>
    <row r="21" spans="4:24">
      <c r="K21" s="21" t="s">
        <v>48</v>
      </c>
      <c r="L21" s="21"/>
      <c r="M21" s="21"/>
      <c r="N21" s="21"/>
      <c r="O21" s="21"/>
      <c r="P21" s="21"/>
    </row>
    <row r="22" spans="4:24">
      <c r="K22" s="23" t="s">
        <v>47</v>
      </c>
      <c r="L22" s="23"/>
      <c r="M22" s="23"/>
      <c r="N22" s="23"/>
      <c r="O22" s="23"/>
      <c r="P22" s="23"/>
      <c r="Q22" s="23"/>
      <c r="V22">
        <v>1</v>
      </c>
      <c r="W22">
        <v>0</v>
      </c>
      <c r="X22">
        <v>0</v>
      </c>
    </row>
    <row r="23" spans="4:24">
      <c r="V23">
        <v>0</v>
      </c>
      <c r="W23">
        <v>0</v>
      </c>
      <c r="X23">
        <v>1</v>
      </c>
    </row>
    <row r="24" spans="4:24">
      <c r="V24">
        <v>0</v>
      </c>
      <c r="W24">
        <v>1</v>
      </c>
      <c r="X24">
        <v>0</v>
      </c>
    </row>
    <row r="25" spans="4:24">
      <c r="V25">
        <v>0</v>
      </c>
      <c r="W25">
        <v>1</v>
      </c>
      <c r="X25">
        <v>0</v>
      </c>
    </row>
    <row r="26" spans="4:24">
      <c r="V26">
        <v>0</v>
      </c>
      <c r="W26">
        <v>0</v>
      </c>
      <c r="X26">
        <v>1</v>
      </c>
    </row>
    <row r="27" spans="4:24">
      <c r="V27">
        <v>1</v>
      </c>
      <c r="W27">
        <v>0</v>
      </c>
      <c r="X27">
        <v>0</v>
      </c>
    </row>
  </sheetData>
  <mergeCells count="4">
    <mergeCell ref="K17:N17"/>
    <mergeCell ref="K19:N19"/>
    <mergeCell ref="K21:P21"/>
    <mergeCell ref="K22:Q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9988-723B-4188-8CBF-B3036F74CC5A}">
  <dimension ref="E1:U18"/>
  <sheetViews>
    <sheetView tabSelected="1" zoomScale="49" workbookViewId="0">
      <selection activeCell="K18" sqref="K18"/>
    </sheetView>
  </sheetViews>
  <sheetFormatPr defaultRowHeight="14.4"/>
  <cols>
    <col min="5" max="5" width="8" bestFit="1" customWidth="1"/>
    <col min="6" max="7" width="14.44140625" bestFit="1" customWidth="1"/>
    <col min="8" max="8" width="9.88671875" bestFit="1" customWidth="1"/>
    <col min="9" max="9" width="14.21875" bestFit="1" customWidth="1"/>
    <col min="10" max="10" width="11.5546875" bestFit="1" customWidth="1"/>
    <col min="11" max="11" width="11.109375" customWidth="1"/>
    <col min="12" max="12" width="11.109375" bestFit="1" customWidth="1"/>
    <col min="13" max="13" width="8.33203125" bestFit="1" customWidth="1"/>
    <col min="14" max="14" width="12.5546875" bestFit="1" customWidth="1"/>
    <col min="15" max="15" width="8.109375" bestFit="1" customWidth="1"/>
    <col min="16" max="16" width="13.77734375" bestFit="1" customWidth="1"/>
    <col min="17" max="17" width="14.21875" customWidth="1"/>
    <col min="18" max="18" width="13" bestFit="1" customWidth="1"/>
    <col min="19" max="19" width="21.109375" bestFit="1" customWidth="1"/>
    <col min="20" max="20" width="12.6640625" bestFit="1" customWidth="1"/>
    <col min="21" max="21" width="13.77734375" bestFit="1" customWidth="1"/>
  </cols>
  <sheetData>
    <row r="1" spans="5:21">
      <c r="S1" s="2" t="s">
        <v>53</v>
      </c>
    </row>
    <row r="2" spans="5:21">
      <c r="J2" s="17" t="s">
        <v>63</v>
      </c>
      <c r="K2" s="20" t="s">
        <v>64</v>
      </c>
      <c r="L2" s="20"/>
      <c r="N2" s="17"/>
      <c r="P2" s="2" t="s">
        <v>41</v>
      </c>
      <c r="Q2" s="2">
        <v>60</v>
      </c>
      <c r="S2" s="2">
        <v>60</v>
      </c>
      <c r="T2" t="b">
        <v>0</v>
      </c>
      <c r="U2" t="b">
        <v>1</v>
      </c>
    </row>
    <row r="3" spans="5:21">
      <c r="K3" s="21" t="s">
        <v>65</v>
      </c>
      <c r="L3" s="21"/>
      <c r="O3" s="15"/>
      <c r="P3" s="2" t="s">
        <v>50</v>
      </c>
      <c r="Q3" s="2" t="s">
        <v>57</v>
      </c>
      <c r="R3" s="2">
        <f>Q2+20</f>
        <v>80</v>
      </c>
      <c r="S3" s="2" t="b">
        <f>S2&gt;Q2</f>
        <v>0</v>
      </c>
      <c r="T3" t="s">
        <v>51</v>
      </c>
      <c r="U3" t="s">
        <v>52</v>
      </c>
    </row>
    <row r="4" spans="5:21">
      <c r="I4" s="2"/>
      <c r="J4" s="15" t="s">
        <v>61</v>
      </c>
      <c r="K4" s="16">
        <v>0.85416666665696539</v>
      </c>
      <c r="N4" s="15"/>
      <c r="O4" s="15"/>
      <c r="P4" s="15"/>
      <c r="Q4" s="2"/>
    </row>
    <row r="5" spans="5:21">
      <c r="J5" s="15" t="s">
        <v>62</v>
      </c>
      <c r="K5" s="16">
        <v>2.083333334303461E-2</v>
      </c>
    </row>
    <row r="6" spans="5:21">
      <c r="E6" s="11" t="s">
        <v>9</v>
      </c>
      <c r="F6" s="11" t="s">
        <v>5</v>
      </c>
      <c r="G6" s="11" t="s">
        <v>6</v>
      </c>
      <c r="H6" s="11" t="s">
        <v>7</v>
      </c>
      <c r="I6" s="11" t="s">
        <v>8</v>
      </c>
      <c r="J6" s="11" t="s">
        <v>0</v>
      </c>
      <c r="K6" s="11" t="s">
        <v>1</v>
      </c>
      <c r="L6" s="11" t="s">
        <v>2</v>
      </c>
      <c r="M6" s="11" t="s">
        <v>3</v>
      </c>
      <c r="N6" s="11" t="s">
        <v>4</v>
      </c>
      <c r="O6" s="12" t="s">
        <v>58</v>
      </c>
      <c r="P6" s="12" t="s">
        <v>59</v>
      </c>
      <c r="Q6" s="12" t="s">
        <v>60</v>
      </c>
      <c r="R6" s="11" t="s">
        <v>54</v>
      </c>
      <c r="S6" s="11" t="s">
        <v>56</v>
      </c>
    </row>
    <row r="7" spans="5:21">
      <c r="E7" s="10">
        <v>101</v>
      </c>
      <c r="F7" s="10" t="s">
        <v>10</v>
      </c>
      <c r="G7" s="10">
        <v>20</v>
      </c>
      <c r="H7" s="10" t="s">
        <v>16</v>
      </c>
      <c r="I7" s="10" t="s">
        <v>19</v>
      </c>
      <c r="J7" s="10">
        <v>60</v>
      </c>
      <c r="K7" s="10" t="s">
        <v>25</v>
      </c>
      <c r="L7" s="10" t="s">
        <v>28</v>
      </c>
      <c r="M7" s="18">
        <v>0.83333333333333337</v>
      </c>
      <c r="N7" s="10" t="s">
        <v>31</v>
      </c>
      <c r="O7" s="13">
        <f t="shared" ref="O7:O12" si="0">K$4-M7</f>
        <v>2.083333332363202E-2</v>
      </c>
      <c r="P7" s="19" t="str">
        <f>IF(K$5&lt;O7,"travel","can't travel")</f>
        <v>can't travel</v>
      </c>
      <c r="Q7" s="14" t="str">
        <f>IF(O7&lt;0,"Least Time", IF(O7=$O$8,"Good Time","Wait"))</f>
        <v>Wait</v>
      </c>
      <c r="R7" s="14" t="str">
        <f t="shared" ref="R7:R12" si="1">IF(Q$2&gt;=J7,"bugget is good","bugget is low")</f>
        <v>bugget is good</v>
      </c>
      <c r="S7" s="14" t="str">
        <f t="shared" ref="S7:S12" si="2">IF(Q$2&gt;J7,"Budget is good",IF(R$3&gt;J7,"Incresed budget is good","Budget is low"))</f>
        <v>Incresed budget is good</v>
      </c>
    </row>
    <row r="8" spans="5:21">
      <c r="E8" s="10">
        <v>102</v>
      </c>
      <c r="F8" s="10" t="s">
        <v>11</v>
      </c>
      <c r="G8" s="10">
        <v>30</v>
      </c>
      <c r="H8" s="10" t="s">
        <v>17</v>
      </c>
      <c r="I8" s="10" t="s">
        <v>20</v>
      </c>
      <c r="J8" s="10">
        <v>50</v>
      </c>
      <c r="K8" s="10" t="s">
        <v>26</v>
      </c>
      <c r="L8" s="10" t="s">
        <v>29</v>
      </c>
      <c r="M8" s="18">
        <v>0.64583333333333337</v>
      </c>
      <c r="N8" s="10" t="s">
        <v>32</v>
      </c>
      <c r="O8" s="13">
        <f t="shared" si="0"/>
        <v>0.20833333332363202</v>
      </c>
      <c r="P8" s="19" t="str">
        <f t="shared" ref="P8:P12" si="3">IF(K$5&lt;O8,"travel","can't travel")</f>
        <v>travel</v>
      </c>
      <c r="Q8" s="14" t="str">
        <f t="shared" ref="Q8:Q12" si="4">IF(O8&lt;0,"Least Time", IF(O8=$O$8,"Good Time","Wait"))</f>
        <v>Good Time</v>
      </c>
      <c r="R8" s="14" t="str">
        <f t="shared" si="1"/>
        <v>bugget is good</v>
      </c>
      <c r="S8" s="14" t="str">
        <f t="shared" si="2"/>
        <v>Budget is good</v>
      </c>
    </row>
    <row r="9" spans="5:21">
      <c r="E9" s="10">
        <v>103</v>
      </c>
      <c r="F9" s="10" t="s">
        <v>12</v>
      </c>
      <c r="G9" s="10">
        <v>50</v>
      </c>
      <c r="H9" s="10" t="s">
        <v>18</v>
      </c>
      <c r="I9" s="10" t="s">
        <v>21</v>
      </c>
      <c r="J9" s="10">
        <v>100</v>
      </c>
      <c r="K9" s="10" t="s">
        <v>25</v>
      </c>
      <c r="L9" s="10" t="s">
        <v>27</v>
      </c>
      <c r="M9" s="18">
        <v>0.34027777777777779</v>
      </c>
      <c r="N9" s="10" t="s">
        <v>33</v>
      </c>
      <c r="O9" s="13">
        <f t="shared" si="0"/>
        <v>0.5138888888791876</v>
      </c>
      <c r="P9" s="19" t="str">
        <f t="shared" si="3"/>
        <v>travel</v>
      </c>
      <c r="Q9" s="14" t="str">
        <f t="shared" si="4"/>
        <v>Wait</v>
      </c>
      <c r="R9" s="14" t="str">
        <f t="shared" si="1"/>
        <v>bugget is low</v>
      </c>
      <c r="S9" s="14" t="str">
        <f t="shared" si="2"/>
        <v>Budget is low</v>
      </c>
    </row>
    <row r="10" spans="5:21">
      <c r="E10" s="10">
        <v>104</v>
      </c>
      <c r="F10" s="10" t="s">
        <v>13</v>
      </c>
      <c r="G10" s="10">
        <v>40</v>
      </c>
      <c r="H10" s="10" t="s">
        <v>18</v>
      </c>
      <c r="I10" s="10" t="s">
        <v>22</v>
      </c>
      <c r="J10" s="10">
        <v>120</v>
      </c>
      <c r="K10" s="10" t="s">
        <v>27</v>
      </c>
      <c r="L10" s="10" t="s">
        <v>29</v>
      </c>
      <c r="M10" s="18">
        <v>2.361111111111111E-2</v>
      </c>
      <c r="N10" s="10" t="s">
        <v>33</v>
      </c>
      <c r="O10" s="13">
        <f t="shared" si="0"/>
        <v>0.83055555554585425</v>
      </c>
      <c r="P10" s="19" t="str">
        <f t="shared" si="3"/>
        <v>travel</v>
      </c>
      <c r="Q10" s="14" t="str">
        <f t="shared" si="4"/>
        <v>Wait</v>
      </c>
      <c r="R10" s="14" t="str">
        <f t="shared" si="1"/>
        <v>bugget is low</v>
      </c>
      <c r="S10" s="14" t="str">
        <f t="shared" si="2"/>
        <v>Budget is low</v>
      </c>
    </row>
    <row r="11" spans="5:21">
      <c r="E11" s="10">
        <v>105</v>
      </c>
      <c r="F11" s="10" t="s">
        <v>14</v>
      </c>
      <c r="G11" s="10">
        <v>10</v>
      </c>
      <c r="H11" s="10" t="s">
        <v>17</v>
      </c>
      <c r="I11" s="10" t="s">
        <v>23</v>
      </c>
      <c r="J11" s="10">
        <v>30</v>
      </c>
      <c r="K11" s="10" t="s">
        <v>25</v>
      </c>
      <c r="L11" s="10" t="s">
        <v>30</v>
      </c>
      <c r="M11" s="18">
        <v>0.99652777777777779</v>
      </c>
      <c r="N11" s="10" t="s">
        <v>31</v>
      </c>
      <c r="O11" s="13">
        <f>K$4-M11</f>
        <v>-0.1423611111208124</v>
      </c>
      <c r="P11" s="19" t="str">
        <f t="shared" si="3"/>
        <v>can't travel</v>
      </c>
      <c r="Q11" s="14" t="str">
        <f t="shared" si="4"/>
        <v>Least Time</v>
      </c>
      <c r="R11" s="14" t="str">
        <f t="shared" si="1"/>
        <v>bugget is good</v>
      </c>
      <c r="S11" s="14" t="str">
        <f t="shared" si="2"/>
        <v>Budget is good</v>
      </c>
    </row>
    <row r="12" spans="5:21">
      <c r="E12" s="10">
        <v>106</v>
      </c>
      <c r="F12" s="10" t="s">
        <v>15</v>
      </c>
      <c r="G12" s="10">
        <v>30</v>
      </c>
      <c r="H12" s="10" t="s">
        <v>16</v>
      </c>
      <c r="I12" s="10" t="s">
        <v>24</v>
      </c>
      <c r="J12" s="10">
        <v>60</v>
      </c>
      <c r="K12" s="10" t="s">
        <v>30</v>
      </c>
      <c r="L12" s="10" t="s">
        <v>29</v>
      </c>
      <c r="M12" s="18">
        <v>0.50347222222222221</v>
      </c>
      <c r="N12" s="10" t="s">
        <v>32</v>
      </c>
      <c r="O12" s="13">
        <f t="shared" si="0"/>
        <v>0.35069444443474318</v>
      </c>
      <c r="P12" s="19" t="str">
        <f t="shared" si="3"/>
        <v>travel</v>
      </c>
      <c r="Q12" s="14" t="str">
        <f t="shared" si="4"/>
        <v>Wait</v>
      </c>
      <c r="R12" s="14" t="str">
        <f t="shared" si="1"/>
        <v>bugget is good</v>
      </c>
      <c r="S12" s="14" t="str">
        <f t="shared" si="2"/>
        <v>Incresed budget is good</v>
      </c>
    </row>
    <row r="15" spans="5:21">
      <c r="I15" s="22" t="s">
        <v>55</v>
      </c>
      <c r="J15" s="22"/>
      <c r="K15" s="22"/>
      <c r="M15" s="25" t="s">
        <v>66</v>
      </c>
      <c r="N15" s="24" t="s">
        <v>67</v>
      </c>
      <c r="O15" s="24"/>
      <c r="P15" s="24"/>
      <c r="Q15" s="24"/>
    </row>
    <row r="17" spans="13:15">
      <c r="M17" s="25" t="s">
        <v>68</v>
      </c>
      <c r="N17" s="26">
        <f>_xlfn.MINIFS(O7:O12,P7:P12,"Travel")</f>
        <v>0.20833333332363202</v>
      </c>
      <c r="O17" s="2">
        <f>MATCH(N17,O7:O12)</f>
        <v>2</v>
      </c>
    </row>
    <row r="18" spans="13:15">
      <c r="N18" s="2" t="str" cm="1">
        <f t="array" ref="N18">INDEX(I7:I12,O17)</f>
        <v>T-102</v>
      </c>
      <c r="O18" s="2"/>
    </row>
  </sheetData>
  <mergeCells count="4">
    <mergeCell ref="K2:L2"/>
    <mergeCell ref="K3:L3"/>
    <mergeCell ref="I15:K15"/>
    <mergeCell ref="N15:Q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Logical</vt:lpstr>
      <vt:lpstr>Logical (if-else)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suhani nagalwade</cp:lastModifiedBy>
  <dcterms:created xsi:type="dcterms:W3CDTF">2015-06-05T18:17:20Z</dcterms:created>
  <dcterms:modified xsi:type="dcterms:W3CDTF">2026-03-16T17:31:19Z</dcterms:modified>
</cp:coreProperties>
</file>